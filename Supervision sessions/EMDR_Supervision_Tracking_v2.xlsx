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ion Log" sheetId="1" state="visible" r:id="rId1"/>
    <sheet xmlns:r="http://schemas.openxmlformats.org/officeDocument/2006/relationships" name="Client Log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0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8" customWidth="1" min="4" max="4"/>
    <col width="28" customWidth="1" min="5" max="5"/>
    <col width="26" customWidth="1" min="9" max="9"/>
  </cols>
  <sheetData>
    <row r="1">
      <c r="A1" s="1" t="inlineStr">
        <is>
          <t>Date</t>
        </is>
      </c>
      <c r="B1" s="1" t="inlineStr">
        <is>
          <t>Supervisor</t>
        </is>
      </c>
      <c r="C1" s="1" t="inlineStr">
        <is>
          <t>Session Type (Individual/Group)</t>
        </is>
      </c>
      <c r="D1" s="1" t="inlineStr">
        <is>
          <t>Hours</t>
        </is>
      </c>
      <c r="E1" s="1" t="inlineStr">
        <is>
          <t>Clients Presented (names)</t>
        </is>
      </c>
      <c r="F1" s="1" t="inlineStr">
        <is>
          <t>Unique Clients Presented (count)</t>
        </is>
      </c>
      <c r="G1" s="1" t="inlineStr">
        <is>
          <t>Total Client Presentations (count)</t>
        </is>
      </c>
      <c r="H1" s="1" t="inlineStr">
        <is>
          <t>Running Supervision Hours Total</t>
        </is>
      </c>
      <c r="I1" s="1" t="inlineStr">
        <is>
          <t>Notes</t>
        </is>
      </c>
    </row>
    <row r="2">
      <c r="A2" s="8" t="n">
        <v>45993</v>
      </c>
      <c r="B2" s="3" t="inlineStr">
        <is>
          <t>Dr Hannah Bryan</t>
        </is>
      </c>
      <c r="C2" s="3" t="inlineStr">
        <is>
          <t>Individual</t>
        </is>
      </c>
      <c r="D2" s="3" t="n">
        <v>1</v>
      </c>
      <c r="E2" s="3" t="inlineStr">
        <is>
          <t>Ashraf</t>
        </is>
      </c>
      <c r="F2" s="3">
        <f>IF(TRIM(E2)="","",LEN(TRIM(E2))-LEN(SUBSTITUTE(TRIM(E2),CHAR(10),""))+1)</f>
        <v/>
      </c>
      <c r="G2" s="3">
        <f>IF(TRIM(E2)="","",LEN(TRIM(E2))-LEN(SUBSTITUTE(TRIM(E2),CHAR(10),""))+1)</f>
        <v/>
      </c>
      <c r="H2" s="3">
        <f>SUM($D$2:D2)</f>
        <v/>
      </c>
      <c r="I2" s="3" t="inlineStr"/>
    </row>
    <row r="3">
      <c r="A3" s="8" t="n">
        <v>46028</v>
      </c>
      <c r="B3" s="3" t="inlineStr">
        <is>
          <t>Dr Hannah Bryan</t>
        </is>
      </c>
      <c r="C3" s="3" t="inlineStr">
        <is>
          <t>Individual</t>
        </is>
      </c>
      <c r="D3" s="3" t="n">
        <v>1</v>
      </c>
      <c r="E3" s="3" t="inlineStr"/>
      <c r="F3" s="3">
        <f>IF(TRIM(E3)="","",LEN(TRIM(E3))-LEN(SUBSTITUTE(TRIM(E3),CHAR(10),""))+1)</f>
        <v/>
      </c>
      <c r="G3" s="3">
        <f>IF(TRIM(E3)="","",LEN(TRIM(E3))-LEN(SUBSTITUTE(TRIM(E3),CHAR(10),""))+1)</f>
        <v/>
      </c>
      <c r="H3" s="3">
        <f>SUM($D$2:D3)</f>
        <v/>
      </c>
      <c r="I3" s="3" t="inlineStr"/>
    </row>
    <row r="4">
      <c r="A4" s="8" t="n">
        <v>46041</v>
      </c>
      <c r="B4" s="3" t="inlineStr">
        <is>
          <t>Dr Susannah Colbert</t>
        </is>
      </c>
      <c r="C4" s="3" t="inlineStr">
        <is>
          <t>Individual</t>
        </is>
      </c>
      <c r="D4" s="3" t="n">
        <v>1</v>
      </c>
      <c r="E4" s="3" t="inlineStr">
        <is>
          <t>Sharon
Ashraf</t>
        </is>
      </c>
      <c r="F4" s="3">
        <f>IF(TRIM(E4)="","",LEN(TRIM(E4))-LEN(SUBSTITUTE(TRIM(E4),CHAR(10),""))+1)</f>
        <v/>
      </c>
      <c r="G4" s="3">
        <f>IF(TRIM(E4)="","",LEN(TRIM(E4))-LEN(SUBSTITUTE(TRIM(E4),CHAR(10),""))+1)</f>
        <v/>
      </c>
      <c r="H4" s="3">
        <f>SUM($D$2:D4)</f>
        <v/>
      </c>
      <c r="I4" s="3" t="inlineStr"/>
    </row>
    <row r="5">
      <c r="A5" s="8" t="n">
        <v>46056</v>
      </c>
      <c r="B5" s="3" t="inlineStr">
        <is>
          <t>Dr Hannah Bryan</t>
        </is>
      </c>
      <c r="C5" s="3" t="inlineStr">
        <is>
          <t>Individual</t>
        </is>
      </c>
      <c r="D5" s="3" t="n">
        <v>1</v>
      </c>
      <c r="E5" s="3" t="inlineStr">
        <is>
          <t>Christina</t>
        </is>
      </c>
      <c r="F5" s="3">
        <f>IF(TRIM(E5)="","",LEN(TRIM(E5))-LEN(SUBSTITUTE(TRIM(E5),CHAR(10),""))+1)</f>
        <v/>
      </c>
      <c r="G5" s="3">
        <f>IF(TRIM(E5)="","",LEN(TRIM(E5))-LEN(SUBSTITUTE(TRIM(E5),CHAR(10),""))+1)</f>
        <v/>
      </c>
      <c r="H5" s="3">
        <f>SUM($D$2:D5)</f>
        <v/>
      </c>
      <c r="I5" s="3" t="inlineStr"/>
    </row>
    <row r="6">
      <c r="A6" s="8" t="n">
        <v>46072</v>
      </c>
      <c r="B6" s="3" t="inlineStr">
        <is>
          <t>Dr Susannah Colbert</t>
        </is>
      </c>
      <c r="C6" s="3" t="inlineStr">
        <is>
          <t>Individual</t>
        </is>
      </c>
      <c r="D6" s="3" t="n">
        <v>1</v>
      </c>
      <c r="E6" s="3" t="inlineStr"/>
      <c r="F6" s="3">
        <f>IF(TRIM(E6)="","",LEN(TRIM(E6))-LEN(SUBSTITUTE(TRIM(E6),CHAR(10),""))+1)</f>
        <v/>
      </c>
      <c r="G6" s="3">
        <f>IF(TRIM(E6)="","",LEN(TRIM(E6))-LEN(SUBSTITUTE(TRIM(E6),CHAR(10),""))+1)</f>
        <v/>
      </c>
      <c r="H6" s="3">
        <f>SUM($D$2:D6)</f>
        <v/>
      </c>
      <c r="I6" s="3" t="inlineStr"/>
    </row>
    <row r="7">
      <c r="A7" s="8" t="n">
        <v>46084</v>
      </c>
      <c r="B7" s="3" t="inlineStr">
        <is>
          <t>Dr Hannah Bryan</t>
        </is>
      </c>
      <c r="C7" s="3" t="inlineStr">
        <is>
          <t>Individual</t>
        </is>
      </c>
      <c r="D7" s="3" t="n">
        <v>1</v>
      </c>
      <c r="E7" s="3" t="inlineStr">
        <is>
          <t>Christina
Sharon
Ryan</t>
        </is>
      </c>
      <c r="F7" s="3">
        <f>IF(TRIM(E7)="","",LEN(TRIM(E7))-LEN(SUBSTITUTE(TRIM(E7),CHAR(10),""))+1)</f>
        <v/>
      </c>
      <c r="G7" s="3">
        <f>IF(TRIM(E7)="","",LEN(TRIM(E7))-LEN(SUBSTITUTE(TRIM(E7),CHAR(10),""))+1)</f>
        <v/>
      </c>
      <c r="H7" s="3">
        <f>SUM($D$2:D7)</f>
        <v/>
      </c>
      <c r="I7" s="3" t="inlineStr"/>
    </row>
    <row r="8">
      <c r="A8" s="8" t="n">
        <v>46100</v>
      </c>
      <c r="B8" s="3" t="inlineStr">
        <is>
          <t>Dr Susannah Colbert</t>
        </is>
      </c>
      <c r="C8" s="3" t="inlineStr">
        <is>
          <t>Individual</t>
        </is>
      </c>
      <c r="D8" s="3" t="n">
        <v>1</v>
      </c>
      <c r="E8" s="3" t="inlineStr"/>
      <c r="F8" s="3">
        <f>IF(TRIM(E8)="","",LEN(TRIM(E8))-LEN(SUBSTITUTE(TRIM(E8),CHAR(10),""))+1)</f>
        <v/>
      </c>
      <c r="G8" s="3">
        <f>IF(TRIM(E8)="","",LEN(TRIM(E8))-LEN(SUBSTITUTE(TRIM(E8),CHAR(10),""))+1)</f>
        <v/>
      </c>
      <c r="H8" s="3">
        <f>SUM($D$2:D8)</f>
        <v/>
      </c>
      <c r="I8" s="3" t="inlineStr"/>
    </row>
    <row r="9">
      <c r="A9" s="8" t="n">
        <v>46126</v>
      </c>
      <c r="B9" s="3" t="inlineStr">
        <is>
          <t>Dr Hannah Bryan</t>
        </is>
      </c>
      <c r="C9" s="3" t="inlineStr">
        <is>
          <t>Individual</t>
        </is>
      </c>
      <c r="D9" s="3" t="n">
        <v>1</v>
      </c>
      <c r="E9" s="3" t="inlineStr">
        <is>
          <t>Christina</t>
        </is>
      </c>
      <c r="F9" s="3">
        <f>IF(TRIM(E9)="","",LEN(TRIM(E9))-LEN(SUBSTITUTE(TRIM(E9),CHAR(10),""))+1)</f>
        <v/>
      </c>
      <c r="G9" s="3">
        <f>IF(TRIM(E9)="","",LEN(TRIM(E9))-LEN(SUBSTITUTE(TRIM(E9),CHAR(10),""))+1)</f>
        <v/>
      </c>
      <c r="H9" s="3">
        <f>SUM($D$2:D9)</f>
        <v/>
      </c>
      <c r="I9" s="3" t="inlineStr"/>
    </row>
    <row r="10">
      <c r="A10" s="8" t="n">
        <v>46131</v>
      </c>
      <c r="B10" s="3" t="inlineStr">
        <is>
          <t>Dr Susannah Colbert</t>
        </is>
      </c>
      <c r="C10" s="3" t="inlineStr">
        <is>
          <t>Individual</t>
        </is>
      </c>
      <c r="D10" s="3" t="n">
        <v>1</v>
      </c>
      <c r="E10" s="3" t="inlineStr"/>
      <c r="F10" s="3">
        <f>IF(TRIM(E10)="","",LEN(TRIM(E10))-LEN(SUBSTITUTE(TRIM(E10),CHAR(10),""))+1)</f>
        <v/>
      </c>
      <c r="G10" s="3">
        <f>IF(TRIM(E10)="","",LEN(TRIM(E10))-LEN(SUBSTITUTE(TRIM(E10),CHAR(10),""))+1)</f>
        <v/>
      </c>
      <c r="H10" s="3">
        <f>SUM($D$2:D10)</f>
        <v/>
      </c>
      <c r="I10" s="3" t="inlineStr"/>
    </row>
    <row r="11">
      <c r="A11" s="8" t="n">
        <v>46147</v>
      </c>
      <c r="B11" s="3" t="inlineStr">
        <is>
          <t>Dr Hannah Bryan</t>
        </is>
      </c>
      <c r="C11" s="3" t="inlineStr">
        <is>
          <t>Individual</t>
        </is>
      </c>
      <c r="D11" s="3" t="n">
        <v>1</v>
      </c>
      <c r="E11" s="3" t="inlineStr"/>
      <c r="F11" s="3">
        <f>IF(TRIM(E11)="","",LEN(TRIM(E11))-LEN(SUBSTITUTE(TRIM(E11),CHAR(10),""))+1)</f>
        <v/>
      </c>
      <c r="G11" s="3">
        <f>IF(TRIM(E11)="","",LEN(TRIM(E11))-LEN(SUBSTITUTE(TRIM(E11),CHAR(10),""))+1)</f>
        <v/>
      </c>
      <c r="H11" s="3">
        <f>SUM($D$2:D11)</f>
        <v/>
      </c>
      <c r="I11" s="3" t="inlineStr"/>
    </row>
    <row r="12">
      <c r="A12" s="8" t="n">
        <v>46161</v>
      </c>
      <c r="B12" s="3" t="inlineStr">
        <is>
          <t>Dr Susannah Colbert</t>
        </is>
      </c>
      <c r="C12" s="3" t="inlineStr">
        <is>
          <t>Individual</t>
        </is>
      </c>
      <c r="D12" s="3" t="n">
        <v>1</v>
      </c>
      <c r="E12" s="3" t="inlineStr"/>
      <c r="F12" s="3">
        <f>IF(TRIM(E12)="","",LEN(TRIM(E12))-LEN(SUBSTITUTE(TRIM(E12),CHAR(10),""))+1)</f>
        <v/>
      </c>
      <c r="G12" s="3">
        <f>IF(TRIM(E12)="","",LEN(TRIM(E12))-LEN(SUBSTITUTE(TRIM(E12),CHAR(10),""))+1)</f>
        <v/>
      </c>
      <c r="H12" s="3">
        <f>SUM($D$2:D12)</f>
        <v/>
      </c>
      <c r="I12" s="3" t="inlineStr"/>
    </row>
    <row r="13">
      <c r="A13" s="8" t="n">
        <v>46175</v>
      </c>
      <c r="B13" s="3" t="inlineStr">
        <is>
          <t>Dr Hannah Bryan</t>
        </is>
      </c>
      <c r="C13" s="3" t="inlineStr">
        <is>
          <t>Individual</t>
        </is>
      </c>
      <c r="D13" s="3" t="n">
        <v>1</v>
      </c>
      <c r="E13" s="3" t="inlineStr"/>
      <c r="F13" s="3">
        <f>IF(TRIM(E13)="","",LEN(TRIM(E13))-LEN(SUBSTITUTE(TRIM(E13),CHAR(10),""))+1)</f>
        <v/>
      </c>
      <c r="G13" s="3">
        <f>IF(TRIM(E13)="","",LEN(TRIM(E13))-LEN(SUBSTITUTE(TRIM(E13),CHAR(10),""))+1)</f>
        <v/>
      </c>
      <c r="H13" s="3">
        <f>SUM($D$2:D13)</f>
        <v/>
      </c>
      <c r="I13" s="3" t="inlineStr"/>
    </row>
    <row r="14">
      <c r="A14" s="8" t="n">
        <v>46192</v>
      </c>
      <c r="B14" s="3" t="inlineStr">
        <is>
          <t>Dr Susannah Colbert</t>
        </is>
      </c>
      <c r="C14" s="3" t="inlineStr">
        <is>
          <t>Individual</t>
        </is>
      </c>
      <c r="D14" s="3" t="n">
        <v>1</v>
      </c>
      <c r="E14" s="3" t="inlineStr"/>
      <c r="F14" s="3">
        <f>IF(TRIM(E14)="","",LEN(TRIM(E14))-LEN(SUBSTITUTE(TRIM(E14),CHAR(10),""))+1)</f>
        <v/>
      </c>
      <c r="G14" s="3">
        <f>IF(TRIM(E14)="","",LEN(TRIM(E14))-LEN(SUBSTITUTE(TRIM(E14),CHAR(10),""))+1)</f>
        <v/>
      </c>
      <c r="H14" s="3">
        <f>SUM($D$2:D14)</f>
        <v/>
      </c>
      <c r="I14" s="3" t="inlineStr"/>
    </row>
    <row r="15">
      <c r="A15" s="8" t="n">
        <v>46210</v>
      </c>
      <c r="B15" s="3" t="inlineStr">
        <is>
          <t>Dr Hannah Bryan</t>
        </is>
      </c>
      <c r="C15" s="3" t="inlineStr">
        <is>
          <t>Individual</t>
        </is>
      </c>
      <c r="D15" s="3" t="n">
        <v>1</v>
      </c>
      <c r="E15" s="3" t="inlineStr"/>
      <c r="F15" s="3">
        <f>IF(TRIM(E15)="","",LEN(TRIM(E15))-LEN(SUBSTITUTE(TRIM(E15),CHAR(10),""))+1)</f>
        <v/>
      </c>
      <c r="G15" s="3">
        <f>IF(TRIM(E15)="","",LEN(TRIM(E15))-LEN(SUBSTITUTE(TRIM(E15),CHAR(10),""))+1)</f>
        <v/>
      </c>
      <c r="H15" s="3">
        <f>SUM($D$2:D15)</f>
        <v/>
      </c>
      <c r="I15" s="3" t="inlineStr"/>
    </row>
    <row r="16">
      <c r="A16" s="8" t="n">
        <v>46222</v>
      </c>
      <c r="B16" s="3" t="inlineStr">
        <is>
          <t>Dr Susannah Colbert</t>
        </is>
      </c>
      <c r="C16" s="3" t="inlineStr">
        <is>
          <t>Individual</t>
        </is>
      </c>
      <c r="D16" s="3" t="n">
        <v>1</v>
      </c>
      <c r="E16" s="3" t="inlineStr"/>
      <c r="F16" s="3">
        <f>IF(TRIM(E16)="","",LEN(TRIM(E16))-LEN(SUBSTITUTE(TRIM(E16),CHAR(10),""))+1)</f>
        <v/>
      </c>
      <c r="G16" s="3">
        <f>IF(TRIM(E16)="","",LEN(TRIM(E16))-LEN(SUBSTITUTE(TRIM(E16),CHAR(10),""))+1)</f>
        <v/>
      </c>
      <c r="H16" s="3">
        <f>SUM($D$2:D16)</f>
        <v/>
      </c>
      <c r="I16" s="3" t="inlineStr"/>
    </row>
    <row r="17">
      <c r="A17" s="8" t="n">
        <v>46253</v>
      </c>
      <c r="B17" s="3" t="inlineStr">
        <is>
          <t>Dr Susannah Colbert</t>
        </is>
      </c>
      <c r="C17" s="3" t="inlineStr">
        <is>
          <t>Individual</t>
        </is>
      </c>
      <c r="D17" s="3" t="n">
        <v>1</v>
      </c>
      <c r="E17" s="3" t="inlineStr"/>
      <c r="F17" s="3">
        <f>IF(TRIM(E17)="","",LEN(TRIM(E17))-LEN(SUBSTITUTE(TRIM(E17),CHAR(10),""))+1)</f>
        <v/>
      </c>
      <c r="G17" s="3">
        <f>IF(TRIM(E17)="","",LEN(TRIM(E17))-LEN(SUBSTITUTE(TRIM(E17),CHAR(10),""))+1)</f>
        <v/>
      </c>
      <c r="H17" s="3">
        <f>SUM($D$2:D17)</f>
        <v/>
      </c>
      <c r="I17" s="3" t="inlineStr"/>
    </row>
    <row r="18">
      <c r="A18" s="8" t="n">
        <v>46266</v>
      </c>
      <c r="B18" s="3" t="inlineStr">
        <is>
          <t>Dr Hannah Bryan</t>
        </is>
      </c>
      <c r="C18" s="3" t="inlineStr">
        <is>
          <t>Individual</t>
        </is>
      </c>
      <c r="D18" s="3" t="n">
        <v>1</v>
      </c>
      <c r="E18" s="3" t="inlineStr"/>
      <c r="F18" s="3">
        <f>IF(TRIM(E18)="","",LEN(TRIM(E18))-LEN(SUBSTITUTE(TRIM(E18),CHAR(10),""))+1)</f>
        <v/>
      </c>
      <c r="G18" s="3">
        <f>IF(TRIM(E18)="","",LEN(TRIM(E18))-LEN(SUBSTITUTE(TRIM(E18),CHAR(10),""))+1)</f>
        <v/>
      </c>
      <c r="H18" s="3">
        <f>SUM($D$2:D18)</f>
        <v/>
      </c>
      <c r="I18" s="3" t="inlineStr"/>
    </row>
    <row r="19">
      <c r="A19" s="8" t="n">
        <v>46284</v>
      </c>
      <c r="B19" s="3" t="inlineStr">
        <is>
          <t>Dr Susannah Colbert</t>
        </is>
      </c>
      <c r="C19" s="3" t="inlineStr">
        <is>
          <t>Individual</t>
        </is>
      </c>
      <c r="D19" s="3" t="n">
        <v>1</v>
      </c>
      <c r="E19" s="3" t="inlineStr"/>
      <c r="F19" s="3">
        <f>IF(TRIM(E19)="","",LEN(TRIM(E19))-LEN(SUBSTITUTE(TRIM(E19),CHAR(10),""))+1)</f>
        <v/>
      </c>
      <c r="G19" s="3">
        <f>IF(TRIM(E19)="","",LEN(TRIM(E19))-LEN(SUBSTITUTE(TRIM(E19),CHAR(10),""))+1)</f>
        <v/>
      </c>
      <c r="H19" s="3">
        <f>SUM($D$2:D19)</f>
        <v/>
      </c>
      <c r="I19" s="3" t="inlineStr"/>
    </row>
    <row r="20">
      <c r="A20" s="8" t="n">
        <v>46301</v>
      </c>
      <c r="B20" s="3" t="inlineStr">
        <is>
          <t>Dr Hannah Bryan</t>
        </is>
      </c>
      <c r="C20" s="3" t="inlineStr">
        <is>
          <t>Individual</t>
        </is>
      </c>
      <c r="D20" s="3" t="n">
        <v>1</v>
      </c>
      <c r="E20" s="3" t="inlineStr"/>
      <c r="F20" s="3">
        <f>IF(TRIM(E20)="","",LEN(TRIM(E20))-LEN(SUBSTITUTE(TRIM(E20),CHAR(10),""))+1)</f>
        <v/>
      </c>
      <c r="G20" s="3">
        <f>IF(TRIM(E20)="","",LEN(TRIM(E20))-LEN(SUBSTITUTE(TRIM(E20),CHAR(10),""))+1)</f>
        <v/>
      </c>
      <c r="H20" s="3">
        <f>SUM($D$2:D20)</f>
        <v/>
      </c>
      <c r="I20" s="3" t="inlineStr"/>
    </row>
    <row r="21">
      <c r="A21" s="8" t="n">
        <v>46314</v>
      </c>
      <c r="B21" s="3" t="inlineStr">
        <is>
          <t>Dr Susannah Colbert</t>
        </is>
      </c>
      <c r="C21" s="3" t="inlineStr">
        <is>
          <t>Individual</t>
        </is>
      </c>
      <c r="D21" s="3" t="n">
        <v>1</v>
      </c>
      <c r="E21" s="3" t="inlineStr"/>
      <c r="F21" s="3">
        <f>IF(TRIM(E21)="","",LEN(TRIM(E21))-LEN(SUBSTITUTE(TRIM(E21),CHAR(10),""))+1)</f>
        <v/>
      </c>
      <c r="G21" s="3">
        <f>IF(TRIM(E21)="","",LEN(TRIM(E21))-LEN(SUBSTITUTE(TRIM(E21),CHAR(10),""))+1)</f>
        <v/>
      </c>
      <c r="H21" s="3">
        <f>SUM($D$2:D21)</f>
        <v/>
      </c>
      <c r="I21" s="3" t="inlineStr"/>
    </row>
    <row r="22">
      <c r="A22" s="8" t="n">
        <v>46329</v>
      </c>
      <c r="B22" s="3" t="inlineStr">
        <is>
          <t>Dr Hannah Bryan</t>
        </is>
      </c>
      <c r="C22" s="3" t="inlineStr">
        <is>
          <t>Individual</t>
        </is>
      </c>
      <c r="D22" s="3" t="n">
        <v>1</v>
      </c>
      <c r="E22" s="3" t="inlineStr"/>
      <c r="F22" s="3">
        <f>IF(TRIM(E22)="","",LEN(TRIM(E22))-LEN(SUBSTITUTE(TRIM(E22),CHAR(10),""))+1)</f>
        <v/>
      </c>
      <c r="G22" s="3">
        <f>IF(TRIM(E22)="","",LEN(TRIM(E22))-LEN(SUBSTITUTE(TRIM(E22),CHAR(10),""))+1)</f>
        <v/>
      </c>
      <c r="H22" s="3">
        <f>SUM($D$2:D22)</f>
        <v/>
      </c>
      <c r="I22" s="3" t="inlineStr"/>
    </row>
    <row r="23">
      <c r="A23" s="8" t="n">
        <v>46345</v>
      </c>
      <c r="B23" s="3" t="inlineStr">
        <is>
          <t>Dr Susannah Colbert</t>
        </is>
      </c>
      <c r="C23" s="3" t="inlineStr">
        <is>
          <t>Individual</t>
        </is>
      </c>
      <c r="D23" s="3" t="n">
        <v>1</v>
      </c>
      <c r="E23" s="3" t="inlineStr"/>
      <c r="F23" s="3">
        <f>IF(TRIM(E23)="","",LEN(TRIM(E23))-LEN(SUBSTITUTE(TRIM(E23),CHAR(10),""))+1)</f>
        <v/>
      </c>
      <c r="G23" s="3">
        <f>IF(TRIM(E23)="","",LEN(TRIM(E23))-LEN(SUBSTITUTE(TRIM(E23),CHAR(10),""))+1)</f>
        <v/>
      </c>
      <c r="H23" s="3">
        <f>SUM($D$2:D23)</f>
        <v/>
      </c>
      <c r="I23" s="3" t="inlineStr"/>
    </row>
    <row r="24">
      <c r="A24" s="8" t="n">
        <v>46357</v>
      </c>
      <c r="B24" s="3" t="inlineStr">
        <is>
          <t>Dr Hannah Bryan</t>
        </is>
      </c>
      <c r="C24" s="3" t="inlineStr">
        <is>
          <t>Individual</t>
        </is>
      </c>
      <c r="D24" s="3" t="n">
        <v>1</v>
      </c>
      <c r="E24" s="3" t="inlineStr"/>
      <c r="F24" s="3">
        <f>IF(TRIM(E24)="","",LEN(TRIM(E24))-LEN(SUBSTITUTE(TRIM(E24),CHAR(10),""))+1)</f>
        <v/>
      </c>
      <c r="G24" s="3">
        <f>IF(TRIM(E24)="","",LEN(TRIM(E24))-LEN(SUBSTITUTE(TRIM(E24),CHAR(10),""))+1)</f>
        <v/>
      </c>
      <c r="H24" s="3">
        <f>SUM($D$2:D24)</f>
        <v/>
      </c>
      <c r="I24" s="3" t="inlineStr"/>
    </row>
    <row r="25">
      <c r="A25" s="8" t="n">
        <v>46375</v>
      </c>
      <c r="B25" s="3" t="inlineStr">
        <is>
          <t>Dr Susannah Colbert</t>
        </is>
      </c>
      <c r="C25" s="3" t="inlineStr">
        <is>
          <t>Individual</t>
        </is>
      </c>
      <c r="D25" s="3" t="n">
        <v>1</v>
      </c>
      <c r="E25" s="3" t="inlineStr"/>
      <c r="F25" s="3">
        <f>IF(TRIM(E25)="","",LEN(TRIM(E25))-LEN(SUBSTITUTE(TRIM(E25),CHAR(10),""))+1)</f>
        <v/>
      </c>
      <c r="G25" s="3">
        <f>IF(TRIM(E25)="","",LEN(TRIM(E25))-LEN(SUBSTITUTE(TRIM(E25),CHAR(10),""))+1)</f>
        <v/>
      </c>
      <c r="H25" s="3">
        <f>SUM($D$2:D25)</f>
        <v/>
      </c>
      <c r="I25" s="3" t="inlineStr"/>
    </row>
    <row r="26">
      <c r="A26" s="3" t="inlineStr">
        <is>
          <t>TBA-Aug-2026</t>
        </is>
      </c>
      <c r="B26" s="3" t="inlineStr">
        <is>
          <t>Dr Hannah Bryan</t>
        </is>
      </c>
      <c r="C26" s="3" t="inlineStr">
        <is>
          <t>Individual</t>
        </is>
      </c>
      <c r="D26" s="3" t="n">
        <v>1</v>
      </c>
      <c r="E26" s="3" t="inlineStr"/>
      <c r="F26" s="3">
        <f>IF(TRIM(E26)="","",LEN(TRIM(E26))-LEN(SUBSTITUTE(TRIM(E26),CHAR(10),""))+1)</f>
        <v/>
      </c>
      <c r="G26" s="3">
        <f>IF(TRIM(E26)="","",LEN(TRIM(E26))-LEN(SUBSTITUTE(TRIM(E26),CHAR(10),""))+1)</f>
        <v/>
      </c>
      <c r="H26" s="3">
        <f>SUM($D$2:D26)</f>
        <v/>
      </c>
      <c r="I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22" customWidth="1" min="5" max="5"/>
    <col width="24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Client</t>
        </is>
      </c>
      <c r="B1" s="1" t="inlineStr">
        <is>
          <t>Status (Ongoing/Closed)</t>
        </is>
      </c>
      <c r="C1" s="1" t="inlineStr">
        <is>
          <t>Closed Month (if closed)</t>
        </is>
      </c>
      <c r="D1" s="1" t="inlineStr">
        <is>
          <t>Primary Presentation / Theme</t>
        </is>
      </c>
      <c r="E1" s="1" t="inlineStr">
        <is>
          <t>Supervisor(s) Presented To</t>
        </is>
      </c>
      <c r="F1" s="1" t="inlineStr">
        <is>
          <t>Dates Presented (one per line)</t>
        </is>
      </c>
      <c r="G1" s="1" t="inlineStr">
        <is>
          <t>Times Presented (auto)</t>
        </is>
      </c>
      <c r="H1" s="1" t="inlineStr">
        <is>
          <t>Last Presented (auto)</t>
        </is>
      </c>
      <c r="I1" s="1" t="inlineStr">
        <is>
          <t>Notes</t>
        </is>
      </c>
    </row>
    <row r="2">
      <c r="A2" s="3" t="inlineStr">
        <is>
          <t>Ashraf</t>
        </is>
      </c>
      <c r="B2" s="3" t="inlineStr">
        <is>
          <t>Ongoing</t>
        </is>
      </c>
      <c r="C2" s="3" t="inlineStr"/>
      <c r="D2" s="3" t="inlineStr"/>
      <c r="E2" s="3" t="inlineStr"/>
      <c r="F2" s="3" t="inlineStr">
        <is>
          <t>02-Dec-2025
19-Jan-2026</t>
        </is>
      </c>
      <c r="G2" s="3">
        <f>IF(TRIM(F2)="","",LEN(TRIM(F2))-LEN(SUBSTITUTE(TRIM(F2),CHAR(10),""))+1)</f>
        <v/>
      </c>
      <c r="H2" s="3">
        <f>IF(TRIM(F2)="","",TRIM(RIGHT(SUBSTITUTE(TRIM(F2),CHAR(10),REPT(" ",200)),200)))</f>
        <v/>
      </c>
      <c r="I2" s="3" t="inlineStr"/>
    </row>
    <row r="3">
      <c r="A3" s="3" t="inlineStr">
        <is>
          <t>Sharon</t>
        </is>
      </c>
      <c r="B3" s="3" t="inlineStr">
        <is>
          <t>Ongoing</t>
        </is>
      </c>
      <c r="C3" s="3" t="inlineStr"/>
      <c r="D3" s="3" t="inlineStr"/>
      <c r="E3" s="3" t="inlineStr"/>
      <c r="F3" s="3" t="inlineStr">
        <is>
          <t>19-Jan-2026
03-Mar-2026</t>
        </is>
      </c>
      <c r="G3" s="3">
        <f>IF(TRIM(F3)="","",LEN(TRIM(F3))-LEN(SUBSTITUTE(TRIM(F3),CHAR(10),""))+1)</f>
        <v/>
      </c>
      <c r="H3" s="3">
        <f>IF(TRIM(F3)="","",TRIM(RIGHT(SUBSTITUTE(TRIM(F3),CHAR(10),REPT(" ",200)),200)))</f>
        <v/>
      </c>
      <c r="I3" s="3" t="inlineStr"/>
    </row>
    <row r="4">
      <c r="A4" s="3" t="inlineStr">
        <is>
          <t>Christina</t>
        </is>
      </c>
      <c r="B4" s="3" t="inlineStr">
        <is>
          <t>Closed</t>
        </is>
      </c>
      <c r="C4" s="3" t="inlineStr">
        <is>
          <t>Feb-2026</t>
        </is>
      </c>
      <c r="D4" s="3" t="inlineStr"/>
      <c r="E4" s="3" t="inlineStr"/>
      <c r="F4" s="3" t="inlineStr">
        <is>
          <t>03-Feb-2026
03-Mar-2026
14-Apr-2026</t>
        </is>
      </c>
      <c r="G4" s="3">
        <f>IF(TRIM(F4)="","",LEN(TRIM(F4))-LEN(SUBSTITUTE(TRIM(F4),CHAR(10),""))+1)</f>
        <v/>
      </c>
      <c r="H4" s="3">
        <f>IF(TRIM(F4)="","",TRIM(RIGHT(SUBSTITUTE(TRIM(F4),CHAR(10),REPT(" ",200)),200)))</f>
        <v/>
      </c>
      <c r="I4" s="3" t="inlineStr"/>
    </row>
    <row r="5">
      <c r="A5" s="3" t="inlineStr">
        <is>
          <t>Ryan</t>
        </is>
      </c>
      <c r="B5" s="3" t="inlineStr">
        <is>
          <t>Ongoing</t>
        </is>
      </c>
      <c r="C5" s="3" t="inlineStr"/>
      <c r="D5" s="3" t="inlineStr">
        <is>
          <t>Phase 1 and 2 - EMDR Supervision Summary (Ryan-spvsn-w-Hannah-3326)</t>
        </is>
      </c>
      <c r="E5" s="3" t="inlineStr">
        <is>
          <t>Dr Hannah Bryan</t>
        </is>
      </c>
      <c r="F5" s="3" t="inlineStr">
        <is>
          <t>03-Mar-2026</t>
        </is>
      </c>
      <c r="G5" s="3">
        <f>IF(TRIM(F5)="","",LEN(TRIM(F5))-LEN(SUBSTITUTE(TRIM(F5),CHAR(10),""))+1)</f>
        <v/>
      </c>
      <c r="H5" s="3">
        <f>IF(TRIM(F5)="","",TRIM(RIGHT(SUBSTITUTE(TRIM(F5),CHAR(10),REPT(" ",200)),200)))</f>
        <v/>
      </c>
      <c r="I5" s="3" t="inlineStr">
        <is>
          <t>Focus on present-day cringe memory first per Hannah's supervision guidance.</t>
        </is>
      </c>
    </row>
    <row r="6">
      <c r="A6" s="3" t="inlineStr">
        <is>
          <t>Client 5</t>
        </is>
      </c>
      <c r="B6" s="3" t="inlineStr"/>
      <c r="C6" s="3" t="inlineStr"/>
      <c r="D6" s="3" t="inlineStr"/>
      <c r="E6" s="3" t="inlineStr"/>
      <c r="F6" s="3" t="inlineStr"/>
      <c r="G6" s="3">
        <f>IF(TRIM(F6)="","",LEN(TRIM(F6))-LEN(SUBSTITUTE(TRIM(F6),CHAR(10),""))+1)</f>
        <v/>
      </c>
      <c r="H6" s="3">
        <f>IF(TRIM(F6)="","",TRIM(RIGHT(SUBSTITUTE(TRIM(F6),CHAR(10),REPT(" ",200)),200)))</f>
        <v/>
      </c>
      <c r="I6" s="3" t="inlineStr"/>
    </row>
    <row r="7">
      <c r="A7" s="3" t="inlineStr">
        <is>
          <t>Client 6</t>
        </is>
      </c>
      <c r="B7" s="3" t="inlineStr"/>
      <c r="C7" s="3" t="inlineStr"/>
      <c r="D7" s="3" t="inlineStr"/>
      <c r="E7" s="3" t="inlineStr"/>
      <c r="F7" s="3" t="inlineStr"/>
      <c r="G7" s="3">
        <f>IF(TRIM(F7)="","",LEN(TRIM(F7))-LEN(SUBSTITUTE(TRIM(F7),CHAR(10),""))+1)</f>
        <v/>
      </c>
      <c r="H7" s="3">
        <f>IF(TRIM(F7)="","",TRIM(RIGHT(SUBSTITUTE(TRIM(F7),CHAR(10),REPT(" ",200)),200)))</f>
        <v/>
      </c>
      <c r="I7" s="3" t="inlineStr"/>
    </row>
    <row r="8">
      <c r="A8" s="3" t="inlineStr">
        <is>
          <t>Client 7</t>
        </is>
      </c>
      <c r="B8" s="3" t="inlineStr"/>
      <c r="C8" s="3" t="inlineStr"/>
      <c r="D8" s="3" t="inlineStr"/>
      <c r="E8" s="3" t="inlineStr"/>
      <c r="F8" s="3" t="inlineStr"/>
      <c r="G8" s="3">
        <f>IF(TRIM(F8)="","",LEN(TRIM(F8))-LEN(SUBSTITUTE(TRIM(F8),CHAR(10),""))+1)</f>
        <v/>
      </c>
      <c r="H8" s="3">
        <f>IF(TRIM(F8)="","",TRIM(RIGHT(SUBSTITUTE(TRIM(F8),CHAR(10),REPT(" ",200)),200)))</f>
        <v/>
      </c>
      <c r="I8" s="3" t="inlineStr"/>
    </row>
    <row r="9">
      <c r="A9" s="3" t="inlineStr">
        <is>
          <t>Client 8</t>
        </is>
      </c>
      <c r="B9" s="3" t="inlineStr"/>
      <c r="C9" s="3" t="inlineStr"/>
      <c r="D9" s="3" t="inlineStr"/>
      <c r="E9" s="3" t="inlineStr"/>
      <c r="F9" s="3" t="inlineStr"/>
      <c r="G9" s="3">
        <f>IF(TRIM(F9)="","",LEN(TRIM(F9))-LEN(SUBSTITUTE(TRIM(F9),CHAR(10),""))+1)</f>
        <v/>
      </c>
      <c r="H9" s="3">
        <f>IF(TRIM(F9)="","",TRIM(RIGHT(SUBSTITUTE(TRIM(F9),CHAR(10),REPT(" ",200)),200)))</f>
        <v/>
      </c>
      <c r="I9" s="3" t="inlineStr"/>
    </row>
    <row r="10">
      <c r="A10" s="3" t="inlineStr">
        <is>
          <t>Client 9</t>
        </is>
      </c>
      <c r="B10" s="3" t="inlineStr"/>
      <c r="C10" s="3" t="inlineStr"/>
      <c r="D10" s="3" t="inlineStr"/>
      <c r="E10" s="3" t="inlineStr"/>
      <c r="F10" s="3" t="inlineStr"/>
      <c r="G10" s="3">
        <f>IF(TRIM(F10)="","",LEN(TRIM(F10))-LEN(SUBSTITUTE(TRIM(F10),CHAR(10),""))+1)</f>
        <v/>
      </c>
      <c r="H10" s="3">
        <f>IF(TRIM(F10)="","",TRIM(RIGHT(SUBSTITUTE(TRIM(F10),CHAR(10),REPT(" ",200)),200)))</f>
        <v/>
      </c>
      <c r="I10" s="3" t="inlineStr"/>
    </row>
    <row r="11">
      <c r="A11" s="3" t="inlineStr">
        <is>
          <t>Client 10</t>
        </is>
      </c>
      <c r="B11" s="3" t="inlineStr"/>
      <c r="C11" s="3" t="inlineStr"/>
      <c r="D11" s="3" t="inlineStr"/>
      <c r="E11" s="3" t="inlineStr"/>
      <c r="F11" s="3" t="inlineStr"/>
      <c r="G11" s="3">
        <f>IF(TRIM(F11)="","",LEN(TRIM(F11))-LEN(SUBSTITUTE(TRIM(F11),CHAR(10),""))+1)</f>
        <v/>
      </c>
      <c r="H11" s="3">
        <f>IF(TRIM(F11)="","",TRIM(RIGHT(SUBSTITUTE(TRIM(F11),CHAR(10),REPT(" ",200)),200)))</f>
        <v/>
      </c>
      <c r="I11" s="3" t="inlineStr"/>
    </row>
    <row r="12">
      <c r="A12" s="3" t="inlineStr">
        <is>
          <t>Client 11</t>
        </is>
      </c>
      <c r="B12" s="3" t="inlineStr"/>
      <c r="C12" s="3" t="inlineStr"/>
      <c r="D12" s="3" t="inlineStr"/>
      <c r="E12" s="3" t="inlineStr"/>
      <c r="F12" s="3" t="inlineStr"/>
      <c r="G12" s="3">
        <f>IF(TRIM(F12)="","",LEN(TRIM(F12))-LEN(SUBSTITUTE(TRIM(F12),CHAR(10),""))+1)</f>
        <v/>
      </c>
      <c r="H12" s="3">
        <f>IF(TRIM(F12)="","",TRIM(RIGHT(SUBSTITUTE(TRIM(F12),CHAR(10),REPT(" ",200)),200)))</f>
        <v/>
      </c>
      <c r="I12" s="3" t="inlineStr"/>
    </row>
    <row r="13">
      <c r="A13" s="3" t="inlineStr">
        <is>
          <t>Client 12</t>
        </is>
      </c>
      <c r="B13" s="3" t="inlineStr"/>
      <c r="C13" s="3" t="inlineStr"/>
      <c r="D13" s="3" t="inlineStr"/>
      <c r="E13" s="3" t="inlineStr"/>
      <c r="F13" s="3" t="inlineStr"/>
      <c r="G13" s="3">
        <f>IF(TRIM(F13)="","",LEN(TRIM(F13))-LEN(SUBSTITUTE(TRIM(F13),CHAR(10),""))+1)</f>
        <v/>
      </c>
      <c r="H13" s="3">
        <f>IF(TRIM(F13)="","",TRIM(RIGHT(SUBSTITUTE(TRIM(F13),CHAR(10),REPT(" ",200)),200)))</f>
        <v/>
      </c>
      <c r="I13" s="3" t="inlineStr"/>
    </row>
    <row r="14">
      <c r="A14" s="3" t="inlineStr">
        <is>
          <t>Client 13</t>
        </is>
      </c>
      <c r="B14" s="3" t="inlineStr"/>
      <c r="C14" s="3" t="inlineStr"/>
      <c r="D14" s="3" t="inlineStr"/>
      <c r="E14" s="3" t="inlineStr"/>
      <c r="F14" s="3" t="inlineStr"/>
      <c r="G14" s="3">
        <f>IF(TRIM(F14)="","",LEN(TRIM(F14))-LEN(SUBSTITUTE(TRIM(F14),CHAR(10),""))+1)</f>
        <v/>
      </c>
      <c r="H14" s="3">
        <f>IF(TRIM(F14)="","",TRIM(RIGHT(SUBSTITUTE(TRIM(F14),CHAR(10),REPT(" ",200)),200)))</f>
        <v/>
      </c>
      <c r="I14" s="3" t="inlineStr"/>
    </row>
    <row r="15">
      <c r="A15" s="3" t="inlineStr">
        <is>
          <t>Client 14</t>
        </is>
      </c>
      <c r="B15" s="3" t="inlineStr"/>
      <c r="C15" s="3" t="inlineStr"/>
      <c r="D15" s="3" t="inlineStr"/>
      <c r="E15" s="3" t="inlineStr"/>
      <c r="F15" s="3" t="inlineStr"/>
      <c r="G15" s="3">
        <f>IF(TRIM(F15)="","",LEN(TRIM(F15))-LEN(SUBSTITUTE(TRIM(F15),CHAR(10),""))+1)</f>
        <v/>
      </c>
      <c r="H15" s="3">
        <f>IF(TRIM(F15)="","",TRIM(RIGHT(SUBSTITUTE(TRIM(F15),CHAR(10),REPT(" ",200)),200)))</f>
        <v/>
      </c>
      <c r="I15" s="3" t="inlineStr"/>
    </row>
    <row r="16">
      <c r="A16" s="3" t="inlineStr">
        <is>
          <t>Client 15</t>
        </is>
      </c>
      <c r="B16" s="3" t="inlineStr"/>
      <c r="C16" s="3" t="inlineStr"/>
      <c r="D16" s="3" t="inlineStr"/>
      <c r="E16" s="3" t="inlineStr"/>
      <c r="F16" s="3" t="inlineStr"/>
      <c r="G16" s="3">
        <f>IF(TRIM(F16)="","",LEN(TRIM(F16))-LEN(SUBSTITUTE(TRIM(F16),CHAR(10),""))+1)</f>
        <v/>
      </c>
      <c r="H16" s="3">
        <f>IF(TRIM(F16)="","",TRIM(RIGHT(SUBSTITUTE(TRIM(F16),CHAR(10),REPT(" ",200)),200)))</f>
        <v/>
      </c>
      <c r="I16" s="3" t="inlineStr"/>
    </row>
    <row r="17">
      <c r="A17" s="3" t="inlineStr">
        <is>
          <t>Client 16</t>
        </is>
      </c>
      <c r="B17" s="3" t="inlineStr"/>
      <c r="C17" s="3" t="inlineStr"/>
      <c r="D17" s="3" t="inlineStr"/>
      <c r="E17" s="3" t="inlineStr"/>
      <c r="F17" s="3" t="inlineStr"/>
      <c r="G17" s="3">
        <f>IF(TRIM(F17)="","",LEN(TRIM(F17))-LEN(SUBSTITUTE(TRIM(F17),CHAR(10),""))+1)</f>
        <v/>
      </c>
      <c r="H17" s="3">
        <f>IF(TRIM(F17)="","",TRIM(RIGHT(SUBSTITUTE(TRIM(F17),CHAR(10),REPT(" ",200)),200)))</f>
        <v/>
      </c>
      <c r="I17" s="3" t="inlineStr"/>
    </row>
    <row r="18">
      <c r="A18" s="3" t="inlineStr">
        <is>
          <t>Client 17</t>
        </is>
      </c>
      <c r="B18" s="3" t="inlineStr"/>
      <c r="C18" s="3" t="inlineStr"/>
      <c r="D18" s="3" t="inlineStr"/>
      <c r="E18" s="3" t="inlineStr"/>
      <c r="F18" s="3" t="inlineStr"/>
      <c r="G18" s="3">
        <f>IF(TRIM(F18)="","",LEN(TRIM(F18))-LEN(SUBSTITUTE(TRIM(F18),CHAR(10),""))+1)</f>
        <v/>
      </c>
      <c r="H18" s="3">
        <f>IF(TRIM(F18)="","",TRIM(RIGHT(SUBSTITUTE(TRIM(F18),CHAR(10),REPT(" ",200)),200)))</f>
        <v/>
      </c>
      <c r="I18" s="3" t="inlineStr"/>
    </row>
    <row r="19">
      <c r="A19" s="3" t="inlineStr">
        <is>
          <t>Client 18</t>
        </is>
      </c>
      <c r="B19" s="3" t="inlineStr"/>
      <c r="C19" s="3" t="inlineStr"/>
      <c r="D19" s="3" t="inlineStr"/>
      <c r="E19" s="3" t="inlineStr"/>
      <c r="F19" s="3" t="inlineStr"/>
      <c r="G19" s="3">
        <f>IF(TRIM(F19)="","",LEN(TRIM(F19))-LEN(SUBSTITUTE(TRIM(F19),CHAR(10),""))+1)</f>
        <v/>
      </c>
      <c r="H19" s="3">
        <f>IF(TRIM(F19)="","",TRIM(RIGHT(SUBSTITUTE(TRIM(F19),CHAR(10),REPT(" ",200)),200)))</f>
        <v/>
      </c>
      <c r="I19" s="3" t="inlineStr"/>
    </row>
    <row r="20">
      <c r="A20" s="3" t="inlineStr">
        <is>
          <t>Client 19</t>
        </is>
      </c>
      <c r="B20" s="3" t="inlineStr"/>
      <c r="C20" s="3" t="inlineStr"/>
      <c r="D20" s="3" t="inlineStr"/>
      <c r="E20" s="3" t="inlineStr"/>
      <c r="F20" s="3" t="inlineStr"/>
      <c r="G20" s="3">
        <f>IF(TRIM(F20)="","",LEN(TRIM(F20))-LEN(SUBSTITUTE(TRIM(F20),CHAR(10),""))+1)</f>
        <v/>
      </c>
      <c r="H20" s="3">
        <f>IF(TRIM(F20)="","",TRIM(RIGHT(SUBSTITUTE(TRIM(F20),CHAR(10),REPT(" ",200)),200)))</f>
        <v/>
      </c>
      <c r="I20" s="3" t="inlineStr"/>
    </row>
    <row r="21">
      <c r="A21" s="3" t="inlineStr">
        <is>
          <t>Client 20</t>
        </is>
      </c>
      <c r="B21" s="3" t="inlineStr"/>
      <c r="C21" s="3" t="inlineStr"/>
      <c r="D21" s="3" t="inlineStr"/>
      <c r="E21" s="3" t="inlineStr"/>
      <c r="F21" s="3" t="inlineStr"/>
      <c r="G21" s="3">
        <f>IF(TRIM(F21)="","",LEN(TRIM(F21))-LEN(SUBSTITUTE(TRIM(F21),CHAR(10),""))+1)</f>
        <v/>
      </c>
      <c r="H21" s="3">
        <f>IF(TRIM(F21)="","",TRIM(RIGHT(SUBSTITUTE(TRIM(F21),CHAR(10),REPT(" ",200)),200)))</f>
        <v/>
      </c>
      <c r="I21" s="3" t="inlineStr"/>
    </row>
    <row r="22">
      <c r="A22" s="3" t="inlineStr">
        <is>
          <t>Client 21</t>
        </is>
      </c>
      <c r="B22" s="3" t="inlineStr"/>
      <c r="C22" s="3" t="inlineStr"/>
      <c r="D22" s="3" t="inlineStr"/>
      <c r="E22" s="3" t="inlineStr"/>
      <c r="F22" s="3" t="inlineStr"/>
      <c r="G22" s="3">
        <f>IF(TRIM(F22)="","",LEN(TRIM(F22))-LEN(SUBSTITUTE(TRIM(F22),CHAR(10),""))+1)</f>
        <v/>
      </c>
      <c r="H22" s="3">
        <f>IF(TRIM(F22)="","",TRIM(RIGHT(SUBSTITUTE(TRIM(F22),CHAR(10),REPT(" ",200)),200)))</f>
        <v/>
      </c>
      <c r="I22" s="3" t="inlineStr"/>
    </row>
    <row r="23">
      <c r="A23" s="3" t="inlineStr">
        <is>
          <t>Client 22</t>
        </is>
      </c>
      <c r="B23" s="3" t="inlineStr"/>
      <c r="C23" s="3" t="inlineStr"/>
      <c r="D23" s="3" t="inlineStr"/>
      <c r="E23" s="3" t="inlineStr"/>
      <c r="F23" s="3" t="inlineStr"/>
      <c r="G23" s="3">
        <f>IF(TRIM(F23)="","",LEN(TRIM(F23))-LEN(SUBSTITUTE(TRIM(F23),CHAR(10),""))+1)</f>
        <v/>
      </c>
      <c r="H23" s="3">
        <f>IF(TRIM(F23)="","",TRIM(RIGHT(SUBSTITUTE(TRIM(F23),CHAR(10),REPT(" ",200)),200)))</f>
        <v/>
      </c>
      <c r="I23" s="3" t="inlineStr"/>
    </row>
    <row r="24">
      <c r="A24" s="3" t="inlineStr">
        <is>
          <t>Client 23</t>
        </is>
      </c>
      <c r="B24" s="3" t="inlineStr"/>
      <c r="C24" s="3" t="inlineStr"/>
      <c r="D24" s="3" t="inlineStr"/>
      <c r="E24" s="3" t="inlineStr"/>
      <c r="F24" s="3" t="inlineStr"/>
      <c r="G24" s="3">
        <f>IF(TRIM(F24)="","",LEN(TRIM(F24))-LEN(SUBSTITUTE(TRIM(F24),CHAR(10),""))+1)</f>
        <v/>
      </c>
      <c r="H24" s="3">
        <f>IF(TRIM(F24)="","",TRIM(RIGHT(SUBSTITUTE(TRIM(F24),CHAR(10),REPT(" ",200)),200)))</f>
        <v/>
      </c>
      <c r="I24" s="3" t="inlineStr"/>
    </row>
    <row r="25">
      <c r="A25" s="3" t="inlineStr">
        <is>
          <t>Client 24</t>
        </is>
      </c>
      <c r="B25" s="3" t="inlineStr"/>
      <c r="C25" s="3" t="inlineStr"/>
      <c r="D25" s="3" t="inlineStr"/>
      <c r="E25" s="3" t="inlineStr"/>
      <c r="F25" s="3" t="inlineStr"/>
      <c r="G25" s="3">
        <f>IF(TRIM(F25)="","",LEN(TRIM(F25))-LEN(SUBSTITUTE(TRIM(F25),CHAR(10),""))+1)</f>
        <v/>
      </c>
      <c r="H25" s="3">
        <f>IF(TRIM(F25)="","",TRIM(RIGHT(SUBSTITUTE(TRIM(F25),CHAR(10),REPT(" ",200)),200)))</f>
        <v/>
      </c>
      <c r="I25" s="3" t="inlineStr"/>
    </row>
    <row r="26">
      <c r="A26" s="3" t="inlineStr">
        <is>
          <t>Client 25</t>
        </is>
      </c>
      <c r="B26" s="3" t="inlineStr"/>
      <c r="C26" s="3" t="inlineStr"/>
      <c r="D26" s="3" t="inlineStr"/>
      <c r="E26" s="3" t="inlineStr"/>
      <c r="F26" s="3" t="inlineStr"/>
      <c r="G26" s="3">
        <f>IF(TRIM(F26)="","",LEN(TRIM(F26))-LEN(SUBSTITUTE(TRIM(F26),CHAR(10),""))+1)</f>
        <v/>
      </c>
      <c r="H26" s="3">
        <f>IF(TRIM(F26)="","",TRIM(RIGHT(SUBSTITUTE(TRIM(F26),CHAR(10),REPT(" ",200)),200)))</f>
        <v/>
      </c>
      <c r="I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EMDR Accreditation Tracking Dashboard</t>
        </is>
      </c>
      <c r="B1" s="9" t="n"/>
      <c r="C1" s="9" t="n"/>
      <c r="D1" s="9" t="n"/>
      <c r="E1" s="9" t="n"/>
      <c r="F1" s="9" t="n"/>
      <c r="G1" s="9" t="n"/>
      <c r="H1" s="10" t="n"/>
    </row>
    <row r="3">
      <c r="A3" s="6" t="inlineStr">
        <is>
          <t>Inputs</t>
        </is>
      </c>
    </row>
    <row r="4">
      <c r="A4" s="7" t="inlineStr">
        <is>
          <t>Basic training supervision hours already completed</t>
        </is>
      </c>
      <c r="B4" s="5" t="n">
        <v>10</v>
      </c>
    </row>
    <row r="5">
      <c r="A5" s="7" t="inlineStr">
        <is>
          <t>Required total supervision hours (incl. basic training)</t>
        </is>
      </c>
      <c r="B5" s="5" t="n">
        <v>20</v>
      </c>
    </row>
    <row r="6">
      <c r="A6" s="7" t="inlineStr">
        <is>
          <t>Required unique clients presented</t>
        </is>
      </c>
      <c r="B6" s="5" t="n">
        <v>25</v>
      </c>
    </row>
    <row r="7">
      <c r="A7" s="7" t="inlineStr">
        <is>
          <t>Average NEW unique clients presented per month (estimate)</t>
        </is>
      </c>
      <c r="B7" s="5" t="n">
        <v>2</v>
      </c>
    </row>
    <row r="8">
      <c r="A8" s="7" t="inlineStr">
        <is>
          <t>Hours per supervision session (if typically 1)</t>
        </is>
      </c>
      <c r="B8" s="5" t="n">
        <v>1</v>
      </c>
    </row>
    <row r="10">
      <c r="A10" s="6" t="inlineStr">
        <is>
          <t>Current progress</t>
        </is>
      </c>
    </row>
    <row r="11">
      <c r="A11" s="7" t="inlineStr">
        <is>
          <t>Supervision hours from supervision log (auto)</t>
        </is>
      </c>
      <c r="B11" s="5">
        <f>MAX('Supervision Log'!H:H)</f>
        <v/>
      </c>
    </row>
    <row r="12">
      <c r="A12" s="7" t="inlineStr">
        <is>
          <t>Total supervision hours incl. basic training (auto)</t>
        </is>
      </c>
      <c r="B12" s="5">
        <f>B11 + B4</f>
        <v/>
      </c>
    </row>
    <row r="13">
      <c r="A13" s="7" t="inlineStr">
        <is>
          <t>Additional supervision hours still needed (auto)</t>
        </is>
      </c>
      <c r="B13" s="5">
        <f>MAX(0,B5-B12)</f>
        <v/>
      </c>
    </row>
    <row r="14">
      <c r="A14" s="7" t="inlineStr">
        <is>
          <t>Unique clients presented so far (auto)</t>
        </is>
      </c>
      <c r="B14" s="5">
        <f>COUNTIF('Client Log'!G2:G26,"&gt;0")</f>
        <v/>
      </c>
    </row>
    <row r="15">
      <c r="A15" s="7" t="inlineStr">
        <is>
          <t>Unique clients still needed (auto)</t>
        </is>
      </c>
      <c r="B15" s="5">
        <f>MAX(0,B6-B14)</f>
        <v/>
      </c>
    </row>
    <row r="16">
      <c r="A16" s="7" t="inlineStr">
        <is>
          <t>Total client presentations so far (auto)</t>
        </is>
      </c>
      <c r="B16" s="5">
        <f>SUM('Client Log'!G2:G26)</f>
        <v/>
      </c>
    </row>
    <row r="18">
      <c r="A18" s="6" t="inlineStr">
        <is>
          <t>Projections (based on your estimate in B7)</t>
        </is>
      </c>
    </row>
    <row r="19">
      <c r="A19" s="7" t="inlineStr">
        <is>
          <t>Months to reach 25 unique clients (estimate)</t>
        </is>
      </c>
      <c r="B19" s="5">
        <f>IF(B7&lt;=0,"",CEILING(B15/B7,1))</f>
        <v/>
      </c>
    </row>
    <row r="20">
      <c r="A20" s="7" t="inlineStr">
        <is>
          <t>Projected month you meet client requirement (estimate)</t>
        </is>
      </c>
      <c r="B20" s="5">
        <f>IF(B19="","",TEXT(EDATE(DATE(2026,3,3),B19),"mmm-yyyy"))</f>
        <v/>
      </c>
    </row>
    <row r="21">
      <c r="A21" s="7" t="inlineStr">
        <is>
          <t>Projected month you meet supervision-hours requirement (estimate)</t>
        </is>
      </c>
      <c r="B21" s="5">
        <f>IF(B13&lt;=0,"Met",TEXT(EDATE(DATE(2026,3,3),CEILING(B13/(2*B8),1)),"mmm-yyyy"))</f>
        <v/>
      </c>
    </row>
    <row r="22">
      <c r="A22" s="7" t="inlineStr">
        <is>
          <t>Earliest projected month you meet BOTH (estimate)</t>
        </is>
      </c>
      <c r="B22" s="5">
        <f>IF(OR(B20="",B21=""),"",TEXT(MAX(DATEVALUE("1-"&amp;B20),IF(B21="Met",DATE(2026,3,3),DATEVALUE("1-"&amp;B21))),"mmm-yyyy"))</f>
        <v/>
      </c>
    </row>
    <row r="24">
      <c r="A24" s="6" t="inlineStr">
        <is>
          <t>Notes</t>
        </is>
      </c>
    </row>
    <row r="25">
      <c r="A25" s="7" t="inlineStr">
        <is>
          <t>1) Enter clients presented per session in Supervision Log column E using one client per line (ALT+ENTER).</t>
        </is>
      </c>
      <c r="B25" s="9" t="n"/>
      <c r="C25" s="9" t="n"/>
      <c r="D25" s="9" t="n"/>
      <c r="E25" s="9" t="n"/>
      <c r="F25" s="9" t="n"/>
      <c r="G25" s="9" t="n"/>
      <c r="H25" s="10" t="n"/>
    </row>
    <row r="26">
      <c r="A26" s="7" t="inlineStr">
        <is>
          <t>2) Keep Client Log dates presented (one per line). Times Presented and totals update automatically.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7" t="inlineStr">
        <is>
          <t>3) Adjust B7 if you want a more realistic client-completion projection.</t>
        </is>
      </c>
      <c r="B27" s="9" t="n"/>
      <c r="C27" s="9" t="n"/>
      <c r="D27" s="9" t="n"/>
      <c r="E27" s="9" t="n"/>
      <c r="F27" s="9" t="n"/>
      <c r="G27" s="9" t="n"/>
      <c r="H27" s="10" t="n"/>
    </row>
  </sheetData>
  <mergeCells count="4">
    <mergeCell ref="A25:H25"/>
    <mergeCell ref="A27:H27"/>
    <mergeCell ref="A26:H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2026-03-03T07:52:12Z</dcterms:created>
  <dcterms:modified xmlns:dcterms="http://purl.org/dc/terms/" xmlns:xsi="http://www.w3.org/2001/XMLSchema-instance" xsi:type="dcterms:W3CDTF">2026-03-03T16:33:09Z</dcterms:modified>
</cp:coreProperties>
</file>